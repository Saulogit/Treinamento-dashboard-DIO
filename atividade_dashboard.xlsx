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13_ncr:1_{E1AF4900-1174-457C-B5B6-404E55BA11CC}" xr6:coauthVersionLast="47" xr6:coauthVersionMax="47" xr10:uidLastSave="{00000000-0000-0000-0000-000000000000}"/>
  <bookViews>
    <workbookView xWindow="-120" yWindow="-120" windowWidth="38640" windowHeight="21120" tabRatio="2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3" l="1"/>
  <c r="E31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<sst xmlns="http://schemas.openxmlformats.org/spreadsheetml/2006/main" count="2021" uniqueCount="323">
  <si>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</si>
  <si>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</si>
  <si>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</si>
  <si>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</si>
  <si>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</si>
  <si>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</si>
  <si>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</si>
  <si>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</si>
  <si>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</si>
  <si>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</si>
  <si>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</si>
  <si>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</si>
  <si>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</si>
  <si>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</si>
  <si>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</si>
  <si>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</si>
  <si>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</si>
  <si>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</si>
  <si>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</si>
  <si>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</si>
  <si>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</si>
  <si>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</si>
  <si>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</si>
  <si>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</si>
  <si>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</si>
  <si>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</si>
  <si>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</si>
  <si>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</si>
  <si>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</si>
  <si>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</si>
  <si>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</si>
  <si>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</si>
  <si>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</si>
  <si>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</si>
  <si>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</si>
  <si>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</si>
  <si>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</si>
  <si>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</si>
  <si>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</si>
  <si>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</si>
  <si>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</si>
  <si>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</si>
  <si>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</si>
  <si>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</si>
  <si>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</si>
  <si>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</si>
  <si>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</si>
  <si>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</si>
  <si>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</si>
  <si>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</si>
  <si>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</si>
  <si>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</si>
  <si>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</si>
  <si>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</si>
  <si>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</si>
  <si>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</si>
  <si>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</si>
  <si>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</si>
  <si>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</si>
  <si>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</si>
  <si>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</si>
  <si>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</si>
  <si>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</si>
  <si>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</si>
  <si>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</si>
  <si>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</si>
  <si>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</si>
  <si>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</si>
  <si>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</si>
  <si>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</si>
  <si>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</si>
  <si>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</si>
  <si>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</si>
  <si>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</si>
  <si>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</si>
  <si>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</si>
  <si>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</si>
  <si>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</si>
  <si>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</si>
  <si>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</si>
  <si>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</si>
  <si>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</si>
  <si>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</si>
  <si>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</si>
  <si>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</si>
  <si>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</si>
  <si>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</si>
  <si>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</si>
  <si>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</si>
  <si>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</si>
  <si>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</si>
  <si>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</si>
  <si>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</si>
  <si>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</si>
  <si>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</si>
  <si>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</si>
  <si>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</si>
  <si>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</si>
  <si>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</si>
  <si>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</si>
  <si>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</si>
  <si>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</si>
  <si>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</si>
  <si>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</si>
  <si>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</si>
  <si>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</si>
  <si>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</si>
  <si>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</si>
  <si>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</si>
  <si>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</si>
  <si>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</si>
  <si>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</si>
  <si>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</si>
  <si>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</si>
  <si>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</si>
  <si>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</si>
  <si>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</si>
  <si>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</si>
  <si>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</si>
  <si>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</si>
  <si>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</si>
  <si>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</si>
  <si>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</si>
  <si>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</si>
  <si>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</si>
  <si>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</si>
  <si>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</si>
  <si>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</si>
  <si>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</si>
  <si>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</si>
  <si>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</si>
  <si>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</si>
  <si>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</si>
  <si>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</si>
  <si>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</si>
  <si>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</si>
  <si>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</si>
  <si>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</si>
  <si>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</si>
  <si>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</si>
  <si>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</si>
  <si>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</si>
  <si>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</si>
  <si>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</si>
  <si>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</si>
  <si>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</si>
  <si>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</si>
  <si>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</si>
  <si>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</si>
  <si>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</si>
  <si>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</si>
  <si>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</si>
  <si>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</si>
  <si>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</si>
  <si>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</si>
  <si>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</si>
  <si>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</si>
  <si>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</si>
  <si>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</si>
  <si>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</si>
  <si>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</si>
  <si>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</si>
  <si>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</si>
  <si>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</si>
  <si>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</si>
  <si>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</si>
  <si>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</si>
  <si>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</si>
  <si>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</si>
  <si>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</si>
  <si>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</si>
  <si>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</si>
  <si>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</si>
  <si>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</si>
  <si>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</si>
  <si>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</si>
  <si>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</si>
  <si>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</si>
  <si>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</si>
  <si>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</si>
  <si>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</si>
  <si>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</si>
  <si>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</si>
  <si>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</si>
  <si>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</si>
  <si>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</si>
  <si>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</si>
  <si>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</si>
  <si>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</si>
  <si>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</si>
  <si>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</si>
  <si>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</si>
  <si>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</si>
  <si>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</si>
  <si>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</si>
  <si>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</si>
  <si>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</si>
  <si>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</si>
  <si>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</si>
  <si>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</si>
  <si>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</si>
  <si>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</si>
  <si>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</si>
  <si>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</si>
  <si>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</si>
  <si>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</si>
  <si>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</si>
  <si>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</si>
  <si>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</si>
  <si>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</si>
  <si>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</si>
  <si>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</si>
  <si>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</si>
  <si>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</si>
  <si>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</si>
  <si>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</si>
  <si>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</si>
  <si>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</si>
  <si>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</si>
  <si>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</si>
  <si>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</si>
  <si>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</si>
  <si>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</si>
  <si>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</si>
  <si>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</si>
  <si>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</si>
  <si>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</si>
  <si>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</si>
  <si>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</si>
  <si>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</si>
  <si>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</si>
  <si>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</si>
  <si>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</si>
  <si>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</si>
  <si>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</si>
  <si>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</si>
  <si>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</si>
  <si>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</si>
  <si>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</si>
  <si>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</si>
  <si>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</si>
  <si>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</si>
  <si>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</si>
  <si>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</si>
  <si>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</si>
  <si>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</si>
  <si>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</si>
  <si>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</si>
  <si>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</si>
  <si>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</si>
  <si>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</si>
  <si>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</si>
  <si>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</si>
  <si>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</si>
  <si>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</si>
  <si>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</si>
  <si>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</si>
  <si>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</si>
  <si>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</si>
  <si>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</si>
  <si>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</si>
  <si>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</si>
  <si>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</si>
  <si>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</si>
  <si>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</si>
  <si>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</si>
  <si>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</si>
  <si>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</si>
  <si>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</si>
  <si>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</si>
  <si>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</si>
  <si>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</si>
  <si>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</si>
  <si>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</si>
  <si>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</si>
  <si>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</si>
  <si>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</si>
  <si>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</si>
  <si>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</si>
  <si>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</si>
  <si>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</si>
  <si>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</si>
  <si>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</si>
  <si>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</si>
  <si>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</si>
  <si>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</si>
  <si>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</si>
  <si>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</si>
  <si>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</si>
  <si>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</si>
  <si>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</si>
  <si>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</si>
  <si>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</si>
  <si>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</si>
  <si>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</si>
  <si>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</si>
  <si>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</si>
  <si>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</si>
  <si>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</si>
  <si>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</si>
  <si>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</si>
  <si>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</si>
  <si>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</si>
  <si>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</si>
  <si>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</si>
  <si>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</si>
  <si>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</si>
  <si>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</si>
  <si>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</si>
  <si>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</si>
  <si>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</si>
  <si>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</si>
  <si>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</si>
  <si>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(contendo todas as assinaturas agregadas)</t>
    </r>
  </si>
  <si>
    <t>Rótulos de Linha</t>
  </si>
  <si>
    <t>Total Geral</t>
  </si>
  <si>
    <t>Soma de Total Value</t>
  </si>
  <si>
    <t>Pergunta de negócio 2 - Qual o faturamento Total de vendas de planos anuais, separado por auto renovação não é por auto renovação</t>
  </si>
  <si>
    <t>XBOX GAME PASS SUBSCRIPTIONS SALES</t>
  </si>
  <si>
    <t>Pergunta de negócio 3 - Total de Vendas de Assinaturas do EA Play</t>
  </si>
  <si>
    <t>Soma de EA Play Season Pass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</si>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</sst>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  <xf numFmtId="44" fontId="0" fillId="0" borderId="0" xfId="2" applyFont="1"/>
    <xf numFmtId="0" fontId="0" fillId="0" borderId="2" xfId="0" applyBorder="1"/>
    <xf numFmtId="0" fontId="4" fillId="0" borderId="2" xfId="1" applyFont="1" applyBorder="1" applyAlignment="1">
      <alignment horizontal="left" indent="4"/>
    </xf>
    <xf numFmtId="0" fontId="4" fillId="0" borderId="2" xfId="1" applyFont="1" applyBorder="1" applyAlignment="1">
      <alignment horizontal="left" indent="5"/>
    </xf>
    <xf numFmtId="0" fontId="4" fillId="0" borderId="2" xfId="1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1D4B448-1A62-4AE1-8D10-DB7D4DE03AEA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C̳álculos!$C$17:$C$19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EB3-877D-42BD4C6B7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301311"/>
        <c:axId val="1520284991"/>
      </c:barChart>
      <c:catAx>
        <c:axId val="152030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284991"/>
        <c:crosses val="autoZero"/>
        <c:auto val="1"/>
        <c:lblAlgn val="ctr"/>
        <c:lblOffset val="100"/>
        <c:noMultiLvlLbl val="0"/>
      </c:catAx>
      <c:valAx>
        <c:axId val="15202849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03013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107155</xdr:colOff>
      <xdr:row>1</xdr:row>
      <xdr:rowOff>83344</xdr:rowOff>
    </xdr:from>
    <xdr:to>
      <xdr:col>2</xdr:col>
      <xdr:colOff>440530</xdr:colOff>
      <xdr:row>4</xdr:row>
      <xdr:rowOff>23812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858018C-A77F-4EB1-B8DD-914D8E7D8E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4" t="19800" r="73408" b="17304"/>
        <a:stretch>
          <a:fillRect/>
        </a:stretch>
      </xdr:blipFill>
      <xdr:spPr>
        <a:xfrm>
          <a:off x="2035968" y="273844"/>
          <a:ext cx="571500" cy="642937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12</xdr:row>
      <xdr:rowOff>109537</xdr:rowOff>
    </xdr:from>
    <xdr:to>
      <xdr:col>0</xdr:col>
      <xdr:colOff>1888331</xdr:colOff>
      <xdr:row>26</xdr:row>
      <xdr:rowOff>109537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461FDDD7-8C2F-4AAE-B708-EB07DC242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275748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35717</xdr:colOff>
      <xdr:row>10</xdr:row>
      <xdr:rowOff>47625</xdr:rowOff>
    </xdr:from>
    <xdr:to>
      <xdr:col>14</xdr:col>
      <xdr:colOff>262634</xdr:colOff>
      <xdr:row>20</xdr:row>
      <xdr:rowOff>86916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4E7B6462-1D18-F96C-C7F3-B70801BB95FF}"/>
            </a:ext>
          </a:extLst>
        </xdr:cNvPr>
        <xdr:cNvGrpSpPr/>
      </xdr:nvGrpSpPr>
      <xdr:grpSpPr>
        <a:xfrm>
          <a:off x="2207417" y="2314575"/>
          <a:ext cx="7370667" cy="1944291"/>
          <a:chOff x="2726530" y="2214562"/>
          <a:chExt cx="6941345" cy="1944291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A010CD1-BC94-AC89-7702-23977E57F90C}"/>
              </a:ext>
            </a:extLst>
          </xdr:cNvPr>
          <xdr:cNvSpPr/>
        </xdr:nvSpPr>
        <xdr:spPr>
          <a:xfrm>
            <a:off x="2738438" y="2238376"/>
            <a:ext cx="6929437" cy="1905000"/>
          </a:xfrm>
          <a:prstGeom prst="roundRect">
            <a:avLst>
              <a:gd name="adj" fmla="val 772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1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5C7CC1F7-3AF4-4B58-93E2-AB8871829C96}"/>
              </a:ext>
            </a:extLst>
          </xdr:cNvPr>
          <xdr:cNvSpPr/>
        </xdr:nvSpPr>
        <xdr:spPr>
          <a:xfrm>
            <a:off x="4521993" y="2744391"/>
            <a:ext cx="3895725" cy="1066799"/>
          </a:xfrm>
          <a:prstGeom prst="roundRect">
            <a:avLst>
              <a:gd name="adj" fmla="val 651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384DD9-BCA5-4F23-AFD6-D5CE6EE0F063}" type="TxLink">
              <a:rPr lang="en-US" sz="6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6000">
              <a:solidFill>
                <a:srgbClr val="22C55E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B97FB2AB-5400-4538-B698-6D6FF13DEF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1312" y="2396728"/>
            <a:ext cx="1762125" cy="1762125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AE1C3DBF-BC3B-52DD-9B6F-76D5948960BB}"/>
              </a:ext>
            </a:extLst>
          </xdr:cNvPr>
          <xdr:cNvSpPr/>
        </xdr:nvSpPr>
        <xdr:spPr>
          <a:xfrm>
            <a:off x="2726530" y="2214562"/>
            <a:ext cx="6941345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15</xdr:col>
      <xdr:colOff>0</xdr:colOff>
      <xdr:row>10</xdr:row>
      <xdr:rowOff>55363</xdr:rowOff>
    </xdr:from>
    <xdr:to>
      <xdr:col>26</xdr:col>
      <xdr:colOff>559594</xdr:colOff>
      <xdr:row>20</xdr:row>
      <xdr:rowOff>79177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AC26D8A-E9DF-C5E0-25C7-03C1CCF79FBE}"/>
            </a:ext>
          </a:extLst>
        </xdr:cNvPr>
        <xdr:cNvGrpSpPr/>
      </xdr:nvGrpSpPr>
      <xdr:grpSpPr>
        <a:xfrm>
          <a:off x="9925050" y="2322313"/>
          <a:ext cx="7265194" cy="1928814"/>
          <a:chOff x="10501313" y="2214563"/>
          <a:chExt cx="6929437" cy="1928814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0C5BADD0-6A9B-4CCB-BDAE-EE8A2BE7E3CE}"/>
              </a:ext>
            </a:extLst>
          </xdr:cNvPr>
          <xdr:cNvGrpSpPr/>
        </xdr:nvGrpSpPr>
        <xdr:grpSpPr>
          <a:xfrm>
            <a:off x="10501313" y="2214563"/>
            <a:ext cx="6929437" cy="1928814"/>
            <a:chOff x="2738438" y="2214562"/>
            <a:chExt cx="6929437" cy="1928814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6245B66B-5799-D6DF-C2F4-1B0BD6443675}"/>
                </a:ext>
              </a:extLst>
            </xdr:cNvPr>
            <xdr:cNvSpPr/>
          </xdr:nvSpPr>
          <xdr:spPr>
            <a:xfrm>
              <a:off x="2738438" y="2238376"/>
              <a:ext cx="6929437" cy="1905000"/>
            </a:xfrm>
            <a:prstGeom prst="roundRect">
              <a:avLst>
                <a:gd name="adj" fmla="val 772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46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1AFF5E2E-8AD6-B3D8-0C6A-6C5C4BEF34E2}"/>
                </a:ext>
              </a:extLst>
            </xdr:cNvPr>
            <xdr:cNvSpPr/>
          </xdr:nvSpPr>
          <xdr:spPr>
            <a:xfrm>
              <a:off x="4521993" y="2744391"/>
              <a:ext cx="3895725" cy="1066799"/>
            </a:xfrm>
            <a:prstGeom prst="roundRect">
              <a:avLst>
                <a:gd name="adj" fmla="val 651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564F5F9A-A67E-4D03-B607-37921C1C2FFA}" type="TxLink">
                <a:rPr lang="en-US" sz="6000" b="0" i="0" u="none" strike="noStrike">
                  <a:solidFill>
                    <a:srgbClr val="22C55E"/>
                  </a:solidFill>
                  <a:latin typeface="Aptos Narrow"/>
                </a:rPr>
                <a:t> R$ 1.800,00 </a:t>
              </a:fld>
              <a:endParaRPr lang="pt-BR" sz="6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290F9DD6-0348-F597-7B2A-D91FEA96EB4D}"/>
                </a:ext>
              </a:extLst>
            </xdr:cNvPr>
            <xdr:cNvSpPr/>
          </xdr:nvSpPr>
          <xdr:spPr>
            <a:xfrm>
              <a:off x="2750344" y="2214562"/>
              <a:ext cx="6917531" cy="5238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44D2C31B-F66C-4483-AE91-5E441C1592C9}"/>
              </a:ext>
            </a:extLst>
          </xdr:cNvPr>
          <xdr:cNvGrpSpPr/>
        </xdr:nvGrpSpPr>
        <xdr:grpSpPr>
          <a:xfrm>
            <a:off x="10787063" y="2972992"/>
            <a:ext cx="1549476" cy="684609"/>
            <a:chOff x="3495675" y="5468541"/>
            <a:chExt cx="1549476" cy="684609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AAD5FAD-18A0-B454-1A3F-7F7AC3364E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68541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EDD1416-EA8F-B219-8CF9-7E694568FE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23811</xdr:colOff>
      <xdr:row>27</xdr:row>
      <xdr:rowOff>59531</xdr:rowOff>
    </xdr:from>
    <xdr:to>
      <xdr:col>27</xdr:col>
      <xdr:colOff>23812</xdr:colOff>
      <xdr:row>54</xdr:row>
      <xdr:rowOff>47625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5B6B209-5D74-1003-75B8-6978FB263C43}"/>
            </a:ext>
          </a:extLst>
        </xdr:cNvPr>
        <xdr:cNvGrpSpPr/>
      </xdr:nvGrpSpPr>
      <xdr:grpSpPr>
        <a:xfrm>
          <a:off x="2195511" y="5564981"/>
          <a:ext cx="15068551" cy="5131594"/>
          <a:chOff x="2190749" y="5560219"/>
          <a:chExt cx="15382876" cy="5131594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9C743D97-E773-C267-5A04-753B55BD2EBD}"/>
              </a:ext>
            </a:extLst>
          </xdr:cNvPr>
          <xdr:cNvGrpSpPr/>
        </xdr:nvGrpSpPr>
        <xdr:grpSpPr>
          <a:xfrm>
            <a:off x="2190749" y="5560219"/>
            <a:ext cx="15382876" cy="5131594"/>
            <a:chOff x="2119311" y="2512220"/>
            <a:chExt cx="4519126" cy="294560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C7D860E-AC6C-DEC8-8DBF-13E06657875C}"/>
                </a:ext>
              </a:extLst>
            </xdr:cNvPr>
            <xdr:cNvSpPr/>
          </xdr:nvSpPr>
          <xdr:spPr>
            <a:xfrm>
              <a:off x="2119311" y="2512220"/>
              <a:ext cx="4488657" cy="2690812"/>
            </a:xfrm>
            <a:prstGeom prst="roundRect">
              <a:avLst>
                <a:gd name="adj" fmla="val 693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D359CC3-02EA-4AD5-A76C-9CDE836C23C5}"/>
                </a:ext>
              </a:extLst>
            </xdr:cNvPr>
            <xdr:cNvGraphicFramePr>
              <a:graphicFrameLocks/>
            </xdr:cNvGraphicFramePr>
          </xdr:nvGraphicFramePr>
          <xdr:xfrm>
            <a:off x="2245518" y="2714625"/>
            <a:ext cx="439291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BB4C8B6E-1EDA-46A8-A89E-EC4F166CB151}"/>
              </a:ext>
            </a:extLst>
          </xdr:cNvPr>
          <xdr:cNvSpPr/>
        </xdr:nvSpPr>
        <xdr:spPr>
          <a:xfrm>
            <a:off x="2190750" y="5560220"/>
            <a:ext cx="15287625" cy="5238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523875</xdr:colOff>
      <xdr:row>1</xdr:row>
      <xdr:rowOff>83344</xdr:rowOff>
    </xdr:from>
    <xdr:to>
      <xdr:col>0</xdr:col>
      <xdr:colOff>1219200</xdr:colOff>
      <xdr:row>4</xdr:row>
      <xdr:rowOff>76200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F849E5C5-4245-4756-A395-BE400014640C}"/>
            </a:ext>
          </a:extLst>
        </xdr:cNvPr>
        <xdr:cNvSpPr/>
      </xdr:nvSpPr>
      <xdr:spPr>
        <a:xfrm>
          <a:off x="523875" y="27384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142875</xdr:colOff>
      <xdr:row>4</xdr:row>
      <xdr:rowOff>452436</xdr:rowOff>
    </xdr:from>
    <xdr:to>
      <xdr:col>0</xdr:col>
      <xdr:colOff>1762125</xdr:colOff>
      <xdr:row>7</xdr:row>
      <xdr:rowOff>107155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1E4523C3-F28E-B15D-FC5E-3D2D198D0983}"/>
            </a:ext>
          </a:extLst>
        </xdr:cNvPr>
        <xdr:cNvSpPr/>
      </xdr:nvSpPr>
      <xdr:spPr>
        <a:xfrm>
          <a:off x="142875" y="1345405"/>
          <a:ext cx="1619250" cy="35718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Paula</a:t>
          </a:r>
          <a:endParaRPr lang="pt-BR" sz="1100" b="1"/>
        </a:p>
      </xdr:txBody>
    </xdr:sp>
    <xdr:clientData/>
  </xdr:twoCellAnchor>
  <xdr:twoCellAnchor editAs="absolute">
    <xdr:from>
      <xdr:col>1</xdr:col>
      <xdr:colOff>124237</xdr:colOff>
      <xdr:row>4</xdr:row>
      <xdr:rowOff>414130</xdr:rowOff>
    </xdr:from>
    <xdr:to>
      <xdr:col>14</xdr:col>
      <xdr:colOff>91107</xdr:colOff>
      <xdr:row>7</xdr:row>
      <xdr:rowOff>68849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DE057B5B-AD86-4401-B5DE-CE84EF8CA12B}"/>
            </a:ext>
          </a:extLst>
        </xdr:cNvPr>
        <xdr:cNvSpPr/>
      </xdr:nvSpPr>
      <xdr:spPr>
        <a:xfrm>
          <a:off x="2054085" y="1308652"/>
          <a:ext cx="7388087" cy="3587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</a:rPr>
            <a:t>Calculation period: 01/01/2024 - 31/12/2024 | Update date 21/01/2026  13:00</a:t>
          </a:r>
        </a:p>
        <a:p>
          <a:pPr algn="l"/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lo Garcia" refreshedDate="46043.47506863426" createdVersion="8" refreshedVersion="8" minRefreshableVersion="3" recordCount="295" xr:uid="{F55ED04D-23BD-422F-ADA2-48F777707FE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523382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AA342-9AF6-4163-9B41-8E2481EF5794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2:C4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8D83B-B7A7-4AD6-861C-D976FA6BA408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FEB18-8DF6-4B50-A493-4EC1FA0400BC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6:C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F10CF8F-4B5B-4EE0-8525-C2C853E6703E}" sourceName="Subscription Type">
  <pivotTables>
    <pivotTable tabId="3" name="tbl_annual_total"/>
    <pivotTable tabId="3" name="tbl_easeasonpass_total"/>
    <pivotTable tabId="3" name="Tabela dinâmica4"/>
  </pivotTables>
  <data>
    <tabular pivotCacheId="195233824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EE2386D-CB63-4B0D-9C53-2891AE1B508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5" sqref="H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0:E46"/>
  <sheetViews>
    <sheetView showGridLines="0" workbookViewId="0">
      <selection activeCell="AH54" sqref="AH5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3.42578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0" spans="2:3" x14ac:dyDescent="0.25">
      <c r="B10" t="s">
        <v>313</v>
      </c>
    </row>
    <row r="11" spans="2:3" x14ac:dyDescent="0.25">
      <c r="B11" t="s">
        <v>317</v>
      </c>
    </row>
    <row r="14" spans="2:3" x14ac:dyDescent="0.25">
      <c r="B14" s="12" t="s">
        <v>16</v>
      </c>
      <c r="C14" t="s">
        <v>20</v>
      </c>
    </row>
    <row r="16" spans="2:3" x14ac:dyDescent="0.25">
      <c r="B16" s="12" t="s">
        <v>314</v>
      </c>
      <c r="C16" t="s">
        <v>316</v>
      </c>
    </row>
    <row r="17" spans="2:5" x14ac:dyDescent="0.25">
      <c r="B17" s="13" t="s">
        <v>23</v>
      </c>
      <c r="C17" s="14">
        <v>2824</v>
      </c>
    </row>
    <row r="18" spans="2:5" x14ac:dyDescent="0.25">
      <c r="B18" s="13" t="s">
        <v>19</v>
      </c>
      <c r="C18" s="14">
        <v>747</v>
      </c>
    </row>
    <row r="19" spans="2:5" x14ac:dyDescent="0.25">
      <c r="B19" s="13" t="s">
        <v>315</v>
      </c>
      <c r="C19" s="14">
        <v>3571</v>
      </c>
    </row>
    <row r="24" spans="2:5" x14ac:dyDescent="0.25">
      <c r="B24" t="s">
        <v>319</v>
      </c>
    </row>
    <row r="26" spans="2:5" x14ac:dyDescent="0.25">
      <c r="B26" s="12" t="s">
        <v>16</v>
      </c>
      <c r="C26" t="s">
        <v>20</v>
      </c>
    </row>
    <row r="28" spans="2:5" x14ac:dyDescent="0.25">
      <c r="B28" s="12" t="s">
        <v>314</v>
      </c>
      <c r="C28" t="s">
        <v>320</v>
      </c>
    </row>
    <row r="29" spans="2:5" x14ac:dyDescent="0.25">
      <c r="B29" s="13" t="s">
        <v>22</v>
      </c>
      <c r="C29" s="16">
        <v>0</v>
      </c>
    </row>
    <row r="30" spans="2:5" x14ac:dyDescent="0.25">
      <c r="B30" s="13" t="s">
        <v>26</v>
      </c>
      <c r="C30" s="16">
        <v>0</v>
      </c>
    </row>
    <row r="31" spans="2:5" x14ac:dyDescent="0.25">
      <c r="B31" s="13" t="s">
        <v>18</v>
      </c>
      <c r="C31" s="16">
        <v>1350</v>
      </c>
      <c r="E31" s="17">
        <f>GETPIVOTDATA("EA Play Season Pass
Price",$B$28)</f>
        <v>1350</v>
      </c>
    </row>
    <row r="32" spans="2:5" x14ac:dyDescent="0.25">
      <c r="B32" s="13" t="s">
        <v>315</v>
      </c>
      <c r="C32" s="16">
        <v>1350</v>
      </c>
    </row>
    <row r="36" spans="2:5" x14ac:dyDescent="0.25">
      <c r="B36" t="s">
        <v>321</v>
      </c>
    </row>
    <row r="40" spans="2:5" x14ac:dyDescent="0.25">
      <c r="B40" s="12" t="s">
        <v>16</v>
      </c>
      <c r="C40" t="s">
        <v>20</v>
      </c>
    </row>
    <row r="42" spans="2:5" x14ac:dyDescent="0.25">
      <c r="B42" s="12" t="s">
        <v>314</v>
      </c>
      <c r="C42" t="s">
        <v>322</v>
      </c>
    </row>
    <row r="43" spans="2:5" x14ac:dyDescent="0.25">
      <c r="B43" s="13" t="s">
        <v>22</v>
      </c>
      <c r="C43" s="14">
        <v>0</v>
      </c>
    </row>
    <row r="44" spans="2:5" x14ac:dyDescent="0.25">
      <c r="B44" s="13" t="s">
        <v>26</v>
      </c>
      <c r="C44" s="14">
        <v>900</v>
      </c>
    </row>
    <row r="45" spans="2:5" x14ac:dyDescent="0.25">
      <c r="B45" s="13" t="s">
        <v>18</v>
      </c>
      <c r="C45" s="14">
        <v>900</v>
      </c>
    </row>
    <row r="46" spans="2:5" x14ac:dyDescent="0.25">
      <c r="B46" s="13" t="s">
        <v>315</v>
      </c>
      <c r="C46" s="14">
        <v>1800</v>
      </c>
      <c r="E46" s="17">
        <f>GETPIVOTDATA("Minecraft Season Pass Price",$B$42)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AA139"/>
  <sheetViews>
    <sheetView showGridLines="0" showRowColHeaders="0" tabSelected="1" zoomScaleNormal="100" workbookViewId="0">
      <selection activeCell="AD61" sqref="AD61"/>
    </sheetView>
  </sheetViews>
  <sheetFormatPr defaultRowHeight="15" x14ac:dyDescent="0.25"/>
  <cols>
    <col min="1" max="1" width="29" style="4" customWidth="1"/>
    <col min="2" max="2" width="3.5703125" customWidth="1"/>
    <col min="12" max="12" width="6.5703125" customWidth="1"/>
  </cols>
  <sheetData>
    <row r="3" spans="1:27" ht="24.75" thickBot="1" x14ac:dyDescent="0.5">
      <c r="C3" s="20" t="s">
        <v>318</v>
      </c>
      <c r="D3" s="19"/>
      <c r="E3" s="21"/>
      <c r="F3" s="21"/>
      <c r="G3" s="21"/>
      <c r="H3" s="21"/>
      <c r="I3" s="21"/>
      <c r="J3" s="15"/>
      <c r="K3" s="15"/>
      <c r="L3" s="15"/>
      <c r="M3" s="15"/>
      <c r="N3" s="15"/>
      <c r="O3" s="15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5.75" thickTop="1" x14ac:dyDescent="0.25"/>
    <row r="5" spans="1:27" ht="39" customHeight="1" x14ac:dyDescent="0.25"/>
    <row r="6" spans="1:27" s="7" customFormat="1" ht="8.25" customHeight="1" x14ac:dyDescent="0.25">
      <c r="A6" s="4"/>
    </row>
    <row r="7" spans="1:27" s="7" customFormat="1" ht="7.5" customHeight="1" x14ac:dyDescent="0.25">
      <c r="A7" s="4"/>
    </row>
    <row r="8" spans="1:27" s="7" customFormat="1" ht="10.5" customHeight="1" x14ac:dyDescent="0.25">
      <c r="A8" s="4"/>
    </row>
    <row r="9" spans="1:27" s="7" customFormat="1" ht="9.75" customHeight="1" x14ac:dyDescent="0.25">
      <c r="A9" s="4"/>
    </row>
    <row r="10" spans="1:27" s="7" customFormat="1" ht="33" customHeight="1" x14ac:dyDescent="0.25">
      <c r="A10" s="4"/>
    </row>
    <row r="11" spans="1:27" s="7" customFormat="1" x14ac:dyDescent="0.25">
      <c r="A11" s="4"/>
    </row>
    <row r="12" spans="1:27" s="7" customFormat="1" x14ac:dyDescent="0.25">
      <c r="A12" s="4"/>
    </row>
    <row r="13" spans="1:27" s="7" customFormat="1" x14ac:dyDescent="0.25">
      <c r="A13" s="4"/>
    </row>
    <row r="14" spans="1:27" s="7" customFormat="1" x14ac:dyDescent="0.25">
      <c r="A14" s="4"/>
    </row>
    <row r="15" spans="1:27" s="7" customFormat="1" x14ac:dyDescent="0.25">
      <c r="A15" s="4"/>
    </row>
    <row r="16" spans="1:2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Saulo Garcia</cp:lastModifiedBy>
  <dcterms:created xsi:type="dcterms:W3CDTF">2024-12-19T13:13:10Z</dcterms:created>
  <dcterms:modified xsi:type="dcterms:W3CDTF">2026-01-21T16:01:50Z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